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rodriguez\Desktop\enviar\"/>
    </mc:Choice>
  </mc:AlternateContent>
  <xr:revisionPtr revIDLastSave="0" documentId="13_ncr:1_{9300FABB-A69C-473D-B9BB-D0ED1BFB73A0}" xr6:coauthVersionLast="47" xr6:coauthVersionMax="47" xr10:uidLastSave="{00000000-0000-0000-0000-000000000000}"/>
  <bookViews>
    <workbookView xWindow="-21720" yWindow="1020" windowWidth="21840" windowHeight="13140" xr2:uid="{00000000-000D-0000-FFFF-FFFF00000000}"/>
  </bookViews>
  <sheets>
    <sheet name="Hoja1" sheetId="4" r:id="rId1"/>
  </sheets>
  <definedNames>
    <definedName name="Pagina">IF(ISNA(MATCH(ROW(), GET.DOCUMENT(64),1)),1, MATCH(ROW(), GET.DOCUMENT(64),1)+1)</definedName>
    <definedName name="PaginadePaginas">"Pagina " &amp; IF(ISNA(MATCH(ROW(), GET.DOCUMENT(64),1)),1, MATCH(ROW(), GET.DOCUMENT(64),1)+1) &amp; " de " &amp; GET.DOCUMENT(50) + 0*NOW()</definedName>
    <definedName name="Paginas">GET.DOCUMENT(50)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4" l="1"/>
  <c r="M16" i="4" s="1"/>
  <c r="I12" i="4"/>
  <c r="P4" i="4" s="1"/>
  <c r="S6" i="4" s="1"/>
  <c r="M12" i="4" s="1"/>
</calcChain>
</file>

<file path=xl/sharedStrings.xml><?xml version="1.0" encoding="utf-8"?>
<sst xmlns="http://schemas.openxmlformats.org/spreadsheetml/2006/main" count="43" uniqueCount="36">
  <si>
    <t>FORMATOS</t>
  </si>
  <si>
    <t>Observaciones:</t>
  </si>
  <si>
    <t>Solicitud de Vacaciones</t>
  </si>
  <si>
    <t>DOCUMENTOS DEL SISTEMA DE GESTION DE CALIDAD</t>
  </si>
  <si>
    <t>Puesto:</t>
  </si>
  <si>
    <t>Pagina 1 de 1</t>
  </si>
  <si>
    <t>Solicitante:</t>
  </si>
  <si>
    <t>Área:</t>
  </si>
  <si>
    <t>Sucursal:</t>
  </si>
  <si>
    <t>Fecha de término:</t>
  </si>
  <si>
    <t>Fecha de inicio:</t>
  </si>
  <si>
    <t>Nombre y firma</t>
  </si>
  <si>
    <t>Suplente:</t>
  </si>
  <si>
    <t>Jefe inmediato:</t>
  </si>
  <si>
    <t>Capital Humano:</t>
  </si>
  <si>
    <t>Fechas de vacaciones:</t>
  </si>
  <si>
    <t>Firmas:</t>
  </si>
  <si>
    <t>Fecha de reincorporación a labores:</t>
  </si>
  <si>
    <t>Fecha de Planta:</t>
  </si>
  <si>
    <t>Fecha de Cumplimiento 
del periodo vacacional:</t>
  </si>
  <si>
    <t>Durante mi ausencia, si se presenta un imprevisto, podría ser atendido por:</t>
  </si>
  <si>
    <t>Posibles imprevistos:</t>
  </si>
  <si>
    <t>Años cumplidos</t>
  </si>
  <si>
    <t>Días pendientes periodo anterior</t>
  </si>
  <si>
    <t>Días que deseo disfrutar:</t>
  </si>
  <si>
    <t>Días restantes para disfrutar:</t>
  </si>
  <si>
    <t>Núm. Empl:</t>
  </si>
  <si>
    <t>Fecha:</t>
  </si>
  <si>
    <t>Días del periodo</t>
  </si>
  <si>
    <t>Días pendientes periodo actual</t>
  </si>
  <si>
    <t>Acumulado de días pendientes</t>
  </si>
  <si>
    <t>Director de Área:</t>
  </si>
  <si>
    <t>T.I</t>
  </si>
  <si>
    <t>Admin de com. Y soporte T.I</t>
  </si>
  <si>
    <t>Ana</t>
  </si>
  <si>
    <t xml:space="preserve">suplente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</si>
</sst>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m\-yyyy"/>
  </numFmts>
  <fonts count="9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12"/>
      <color theme="0"/>
      <name val="Arial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336699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5" fillId="0" borderId="3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 wrapText="1"/>
    </xf>
    <xf numFmtId="0" fontId="3" fillId="3" borderId="21" xfId="0" applyFont="1" applyFill="1" applyBorder="1" applyAlignment="1">
      <alignment horizontal="center" vertical="center" wrapText="1"/>
    </xf>
    <xf numFmtId="0" fontId="3" fillId="3" borderId="22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5" fillId="0" borderId="7" xfId="0" applyFont="1" applyBorder="1" applyAlignment="1" applyProtection="1">
      <alignment horizontal="left" vertical="center"/>
      <protection locked="0"/>
    </xf>
    <xf numFmtId="2" fontId="3" fillId="0" borderId="3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2" fontId="3" fillId="0" borderId="4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 applyProtection="1">
      <alignment horizontal="center" vertical="center"/>
      <protection locked="0"/>
    </xf>
    <xf numFmtId="164" fontId="3" fillId="0" borderId="5" xfId="0" applyNumberFormat="1" applyFont="1" applyBorder="1" applyAlignment="1" applyProtection="1">
      <alignment horizontal="center" vertical="center"/>
      <protection locked="0"/>
    </xf>
    <xf numFmtId="164" fontId="3" fillId="0" borderId="6" xfId="0" applyNumberFormat="1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64" fontId="5" fillId="0" borderId="7" xfId="0" applyNumberFormat="1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>
      <alignment horizontal="center" vertical="center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3" fillId="0" borderId="11" xfId="0" applyFont="1" applyBorder="1" applyAlignment="1">
      <alignment vertical="center" wrapText="1"/>
    </xf>
    <xf numFmtId="0" fontId="7" fillId="2" borderId="1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7" xfId="0" applyFont="1" applyBorder="1" applyAlignment="1" applyProtection="1">
      <alignment horizontal="left" vertical="center"/>
      <protection locked="0"/>
    </xf>
    <xf numFmtId="164" fontId="3" fillId="0" borderId="3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wrapText="1"/>
      <protection locked="0"/>
    </xf>
    <xf numFmtId="0" fontId="6" fillId="0" borderId="5" xfId="0" applyFont="1" applyBorder="1" applyAlignment="1" applyProtection="1">
      <alignment horizontal="center" wrapText="1"/>
      <protection locked="0"/>
    </xf>
    <xf numFmtId="0" fontId="6" fillId="0" borderId="6" xfId="0" applyFont="1" applyBorder="1" applyAlignment="1" applyProtection="1">
      <alignment horizontal="center" wrapText="1"/>
      <protection locked="0"/>
    </xf>
    <xf numFmtId="0" fontId="3" fillId="0" borderId="5" xfId="0" applyFont="1" applyBorder="1" applyAlignment="1" applyProtection="1">
      <alignment horizontal="left" vertical="center"/>
      <protection locked="0"/>
    </xf>
    <xf numFmtId="0" fontId="3" fillId="0" borderId="7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9363</xdr:rowOff>
    </xdr:from>
    <xdr:to>
      <xdr:col>13</xdr:col>
      <xdr:colOff>827943</xdr:colOff>
      <xdr:row>3</xdr:row>
      <xdr:rowOff>43960</xdr:rowOff>
    </xdr:to>
    <xdr:sp macro="" textlink="">
      <xdr:nvSpPr>
        <xdr:cNvPr id="2" name="2 CuadroTexto">
          <a:extLst>
            <a:ext uri="{FF2B5EF4-FFF2-40B4-BE49-F238E27FC236}">
              <a16:creationId xmlns:a16="http://schemas.microsoft.com/office/drawing/2014/main" id="{974CE1C8-5F2E-30C4-D2B1-7AB7EC4C4C2F}"/>
            </a:ext>
          </a:extLst>
        </xdr:cNvPr>
        <xdr:cNvSpPr txBox="1"/>
      </xdr:nvSpPr>
      <xdr:spPr>
        <a:xfrm>
          <a:off x="5685692" y="9363"/>
          <a:ext cx="827943" cy="5548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700"/>
            </a:lnSpc>
          </a:pPr>
          <a:endParaRPr lang="es-MX" sz="700">
            <a:latin typeface="Arial" pitchFamily="34" charset="0"/>
            <a:cs typeface="Arial" pitchFamily="34" charset="0"/>
          </a:endParaRPr>
        </a:p>
        <a:p>
          <a:pPr algn="ctr">
            <a:lnSpc>
              <a:spcPts val="700"/>
            </a:lnSpc>
          </a:pPr>
          <a:r>
            <a:rPr lang="es-MX" sz="700">
              <a:latin typeface="Arial" pitchFamily="34" charset="0"/>
              <a:cs typeface="Arial" pitchFamily="34" charset="0"/>
            </a:rPr>
            <a:t>FO-RHU-27 REV:07</a:t>
          </a:r>
        </a:p>
        <a:p>
          <a:pPr algn="ctr">
            <a:lnSpc>
              <a:spcPts val="700"/>
            </a:lnSpc>
          </a:pPr>
          <a:r>
            <a:rPr lang="es-MX" sz="700">
              <a:latin typeface="Arial" pitchFamily="34" charset="0"/>
              <a:cs typeface="Arial" pitchFamily="34" charset="0"/>
            </a:rPr>
            <a:t>12/11/2023</a:t>
          </a:r>
        </a:p>
        <a:p>
          <a:pPr algn="ctr">
            <a:lnSpc>
              <a:spcPts val="900"/>
            </a:lnSpc>
          </a:pPr>
          <a:endParaRPr lang="es-MX" sz="7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9"/>
  <sheetViews>
    <sheetView showGridLines="0" tabSelected="1" zoomScale="130" zoomScaleNormal="130" workbookViewId="0">
      <selection activeCell="V20" sqref="V20"/>
    </sheetView>
  </sheetViews>
  <sheetFormatPr baseColWidth="10" defaultColWidth="6.28515625" defaultRowHeight="12.75" x14ac:dyDescent="0.25"/>
  <cols>
    <col min="1" max="1" width="13.85546875" style="2" customWidth="1"/>
    <col min="2" max="6" width="6.28515625" style="2" customWidth="1"/>
    <col min="7" max="8" width="3.28515625" style="2" customWidth="1"/>
    <col min="9" max="9" width="6.5703125" style="2" customWidth="1"/>
    <col min="10" max="11" width="6.28515625" style="2" customWidth="1"/>
    <col min="12" max="12" width="6.7109375" style="2" customWidth="1"/>
    <col min="13" max="13" width="7.7109375" style="2" customWidth="1"/>
    <col min="14" max="14" width="12.5703125" style="2" customWidth="1"/>
    <col min="15" max="15" width="6.28515625" style="2" customWidth="1"/>
    <col min="16" max="18" width="6.28515625" style="2" hidden="1" customWidth="1"/>
    <col min="19" max="19" width="5.140625" style="2" hidden="1" customWidth="1"/>
    <col min="20" max="16384" width="6.28515625" style="2"/>
  </cols>
  <sheetData>
    <row r="1" spans="1:19" ht="15.75" x14ac:dyDescent="0.25">
      <c r="A1" s="40"/>
      <c r="B1" s="43" t="s">
        <v>0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"/>
      <c r="N1" s="45"/>
    </row>
    <row r="2" spans="1:19" x14ac:dyDescent="0.25">
      <c r="A2" s="41"/>
      <c r="B2" s="47" t="s">
        <v>3</v>
      </c>
      <c r="C2" s="48"/>
      <c r="D2" s="48"/>
      <c r="E2" s="48"/>
      <c r="F2" s="48"/>
      <c r="G2" s="48"/>
      <c r="H2" s="48"/>
      <c r="I2" s="48"/>
      <c r="J2" s="48"/>
      <c r="K2" s="48"/>
      <c r="L2" s="48"/>
      <c r="M2" s="49"/>
      <c r="N2" s="46"/>
    </row>
    <row r="3" spans="1:19" x14ac:dyDescent="0.25">
      <c r="A3" s="41"/>
      <c r="B3" s="10" t="s">
        <v>2</v>
      </c>
      <c r="C3" s="11"/>
      <c r="D3" s="11"/>
      <c r="E3" s="11"/>
      <c r="F3" s="11"/>
      <c r="G3" s="11"/>
      <c r="H3" s="11"/>
      <c r="I3" s="11"/>
      <c r="J3" s="11"/>
      <c r="K3" s="11"/>
      <c r="L3" s="11"/>
      <c r="M3" s="12"/>
      <c r="N3" s="46"/>
    </row>
    <row r="4" spans="1:19" ht="13.5" thickBot="1" x14ac:dyDescent="0.3">
      <c r="A4" s="42"/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5"/>
      <c r="N4" s="1" t="s">
        <v>5</v>
      </c>
      <c r="P4" s="31">
        <f>INT(I12)</f>
        <v>4</v>
      </c>
      <c r="Q4" s="8"/>
    </row>
    <row r="5" spans="1:19" ht="5.0999999999999996" customHeight="1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</row>
    <row r="6" spans="1:19" ht="12" customHeight="1" x14ac:dyDescent="0.25">
      <c r="A6" s="2" t="s">
        <v>6</v>
      </c>
      <c r="B6" s="22" t="s">
        <v>34</v>
      </c>
      <c r="C6" s="22"/>
      <c r="D6" s="22"/>
      <c r="E6" s="22"/>
      <c r="F6" s="22"/>
      <c r="G6" s="22"/>
      <c r="H6" s="22"/>
      <c r="J6" s="5" t="s">
        <v>26</v>
      </c>
      <c r="K6" s="6">
        <v>998</v>
      </c>
      <c r="L6" s="5" t="s">
        <v>27</v>
      </c>
      <c r="M6" s="38">
        <v>44963</v>
      </c>
      <c r="N6" s="38"/>
      <c r="P6" s="2">
        <v>1</v>
      </c>
      <c r="Q6" s="2">
        <v>12</v>
      </c>
      <c r="S6" s="2">
        <f>VLOOKUP(P4,P6:Q39,2,FALSE)</f>
        <v>18</v>
      </c>
    </row>
    <row r="7" spans="1:19" ht="5.0999999999999996" customHeight="1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P7" s="2">
        <v>2</v>
      </c>
      <c r="Q7" s="2">
        <v>14</v>
      </c>
    </row>
    <row r="8" spans="1:19" ht="12" customHeight="1" x14ac:dyDescent="0.25">
      <c r="A8" s="2" t="s">
        <v>4</v>
      </c>
      <c r="B8" s="35"/>
      <c r="C8" s="35"/>
      <c r="D8" s="35"/>
      <c r="E8" s="35"/>
      <c r="F8" s="5" t="s">
        <v>7</v>
      </c>
      <c r="G8" s="22" t="s">
        <v>32</v>
      </c>
      <c r="H8" s="22"/>
      <c r="I8" s="22"/>
      <c r="J8" s="22"/>
      <c r="L8" s="5" t="s">
        <v>8</v>
      </c>
      <c r="M8" s="22"/>
      <c r="N8" s="22"/>
      <c r="P8" s="2">
        <v>3</v>
      </c>
      <c r="Q8" s="2">
        <v>16</v>
      </c>
    </row>
    <row r="9" spans="1:19" ht="5.0999999999999996" customHeight="1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P9" s="2">
        <v>4</v>
      </c>
      <c r="Q9" s="2">
        <v>18</v>
      </c>
    </row>
    <row r="10" spans="1:19" ht="12" customHeight="1" x14ac:dyDescent="0.25">
      <c r="A10" s="16" t="s">
        <v>18</v>
      </c>
      <c r="B10" s="16"/>
      <c r="C10" s="16"/>
      <c r="D10" s="18" t="s">
        <v>19</v>
      </c>
      <c r="E10" s="24"/>
      <c r="F10" s="24"/>
      <c r="G10" s="24"/>
      <c r="H10" s="25"/>
      <c r="I10" s="16" t="s">
        <v>22</v>
      </c>
      <c r="J10" s="16"/>
      <c r="K10" s="16"/>
      <c r="L10" s="16"/>
      <c r="M10" s="18" t="s">
        <v>28</v>
      </c>
      <c r="N10" s="19"/>
      <c r="P10" s="2">
        <v>5</v>
      </c>
      <c r="Q10" s="2">
        <v>20</v>
      </c>
    </row>
    <row r="11" spans="1:19" ht="12" customHeight="1" x14ac:dyDescent="0.25">
      <c r="A11" s="16"/>
      <c r="B11" s="16"/>
      <c r="C11" s="16"/>
      <c r="D11" s="26"/>
      <c r="E11" s="27"/>
      <c r="F11" s="27"/>
      <c r="G11" s="27"/>
      <c r="H11" s="28"/>
      <c r="I11" s="16"/>
      <c r="J11" s="16"/>
      <c r="K11" s="16"/>
      <c r="L11" s="16"/>
      <c r="M11" s="20"/>
      <c r="N11" s="21"/>
      <c r="P11" s="2">
        <v>6</v>
      </c>
      <c r="Q11" s="2">
        <v>22</v>
      </c>
    </row>
    <row r="12" spans="1:19" ht="14.1" customHeight="1" x14ac:dyDescent="0.25">
      <c r="A12" s="32">
        <v>43415</v>
      </c>
      <c r="B12" s="33"/>
      <c r="C12" s="34"/>
      <c r="D12" s="32">
        <v>43780</v>
      </c>
      <c r="E12" s="33"/>
      <c r="F12" s="33"/>
      <c r="G12" s="33"/>
      <c r="H12" s="34"/>
      <c r="I12" s="23">
        <f>(+M6-A12)/365</f>
        <v>4.2410958904109588</v>
      </c>
      <c r="J12" s="23"/>
      <c r="K12" s="23"/>
      <c r="L12" s="23"/>
      <c r="M12" s="39">
        <f>IF(S6&lt;&gt;0,S6," ")</f>
        <v>18</v>
      </c>
      <c r="N12" s="39"/>
      <c r="P12" s="2">
        <v>7</v>
      </c>
      <c r="Q12" s="2">
        <v>22</v>
      </c>
    </row>
    <row r="13" spans="1:19" ht="5.0999999999999996" customHeight="1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P13" s="2">
        <v>8</v>
      </c>
      <c r="Q13" s="2">
        <v>22</v>
      </c>
    </row>
    <row r="14" spans="1:19" ht="12" customHeight="1" x14ac:dyDescent="0.25">
      <c r="A14" s="16" t="s">
        <v>29</v>
      </c>
      <c r="B14" s="16"/>
      <c r="C14" s="16" t="s">
        <v>23</v>
      </c>
      <c r="D14" s="16"/>
      <c r="E14" s="16"/>
      <c r="F14" s="16" t="s">
        <v>30</v>
      </c>
      <c r="G14" s="16"/>
      <c r="H14" s="16"/>
      <c r="I14" s="16"/>
      <c r="J14" s="16" t="s">
        <v>24</v>
      </c>
      <c r="K14" s="16"/>
      <c r="L14" s="16"/>
      <c r="M14" s="16" t="s">
        <v>25</v>
      </c>
      <c r="N14" s="16"/>
      <c r="P14" s="2">
        <v>9</v>
      </c>
      <c r="Q14" s="2">
        <v>22</v>
      </c>
    </row>
    <row r="15" spans="1:19" ht="12" customHeight="1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P15" s="2">
        <v>10</v>
      </c>
      <c r="Q15" s="2">
        <v>22</v>
      </c>
    </row>
    <row r="16" spans="1:19" ht="14.1" customHeight="1" x14ac:dyDescent="0.25">
      <c r="A16" s="30">
        <v>11</v>
      </c>
      <c r="B16" s="30"/>
      <c r="C16" s="30">
        <v>0</v>
      </c>
      <c r="D16" s="30"/>
      <c r="E16" s="30"/>
      <c r="F16" s="39">
        <f>SUM(A16:E16)</f>
        <v>11</v>
      </c>
      <c r="G16" s="39"/>
      <c r="H16" s="39"/>
      <c r="I16" s="39"/>
      <c r="J16" s="30">
        <v>1</v>
      </c>
      <c r="K16" s="30"/>
      <c r="L16" s="30"/>
      <c r="M16" s="39">
        <f>+F16-J16</f>
        <v>10</v>
      </c>
      <c r="N16" s="39"/>
      <c r="P16" s="2">
        <v>11</v>
      </c>
      <c r="Q16" s="2">
        <v>24</v>
      </c>
    </row>
    <row r="17" spans="1:17" ht="5.0999999999999996" customHeight="1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P17" s="2">
        <v>12</v>
      </c>
      <c r="Q17" s="2">
        <v>24</v>
      </c>
    </row>
    <row r="18" spans="1:17" ht="9.75" customHeight="1" x14ac:dyDescent="0.25">
      <c r="A18" s="29" t="s">
        <v>15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P18" s="2">
        <v>13</v>
      </c>
      <c r="Q18" s="2">
        <v>24</v>
      </c>
    </row>
    <row r="19" spans="1:17" ht="9.75" customHeight="1" x14ac:dyDescent="0.25">
      <c r="A19" s="39" t="s">
        <v>10</v>
      </c>
      <c r="B19" s="39"/>
      <c r="C19" s="39"/>
      <c r="D19" s="39"/>
      <c r="E19" s="39" t="s">
        <v>9</v>
      </c>
      <c r="F19" s="39"/>
      <c r="G19" s="39"/>
      <c r="H19" s="39"/>
      <c r="I19" s="39"/>
      <c r="J19" s="39"/>
      <c r="K19" s="39" t="s">
        <v>17</v>
      </c>
      <c r="L19" s="39"/>
      <c r="M19" s="39"/>
      <c r="N19" s="39"/>
      <c r="P19" s="2">
        <v>14</v>
      </c>
      <c r="Q19" s="2">
        <v>24</v>
      </c>
    </row>
    <row r="20" spans="1:17" ht="14.1" customHeight="1" x14ac:dyDescent="0.25">
      <c r="A20" s="51">
        <v>44974</v>
      </c>
      <c r="B20" s="51"/>
      <c r="C20" s="51"/>
      <c r="D20" s="51"/>
      <c r="E20" s="51">
        <v>44974</v>
      </c>
      <c r="F20" s="51"/>
      <c r="G20" s="51"/>
      <c r="H20" s="51"/>
      <c r="I20" s="51"/>
      <c r="J20" s="51"/>
      <c r="K20" s="51">
        <v>44977</v>
      </c>
      <c r="L20" s="51"/>
      <c r="M20" s="51"/>
      <c r="N20" s="51"/>
      <c r="P20" s="2">
        <v>15</v>
      </c>
      <c r="Q20" s="2">
        <v>24</v>
      </c>
    </row>
    <row r="21" spans="1:17" ht="5.0999999999999996" customHeight="1" x14ac:dyDescent="0.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P21" s="2">
        <v>16</v>
      </c>
      <c r="Q21" s="2">
        <v>26</v>
      </c>
    </row>
    <row r="22" spans="1:17" x14ac:dyDescent="0.25">
      <c r="A22" s="36" t="s">
        <v>20</v>
      </c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P22" s="2">
        <v>17</v>
      </c>
      <c r="Q22" s="2">
        <v>26</v>
      </c>
    </row>
    <row r="23" spans="1:17" ht="12" customHeight="1" x14ac:dyDescent="0.25">
      <c r="A23" s="2" t="s">
        <v>12</v>
      </c>
      <c r="B23" s="53" t="s">
        <v>35</v>
      </c>
      <c r="C23" s="53"/>
      <c r="D23" s="53"/>
      <c r="E23" s="53"/>
      <c r="F23" s="53"/>
      <c r="G23" s="53"/>
      <c r="H23" s="3"/>
      <c r="I23" s="2" t="s">
        <v>4</v>
      </c>
      <c r="J23" s="53" t="s">
        <v>33</v>
      </c>
      <c r="K23" s="53"/>
      <c r="L23" s="53"/>
      <c r="M23" s="53"/>
      <c r="N23" s="53"/>
      <c r="P23" s="2">
        <v>18</v>
      </c>
      <c r="Q23" s="2">
        <v>26</v>
      </c>
    </row>
    <row r="24" spans="1:17" ht="4.5" customHeight="1" x14ac:dyDescent="0.25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P24" s="2">
        <v>19</v>
      </c>
      <c r="Q24" s="2">
        <v>26</v>
      </c>
    </row>
    <row r="25" spans="1:17" ht="12" customHeight="1" x14ac:dyDescent="0.25">
      <c r="A25" s="2" t="s">
        <v>21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P25" s="2">
        <v>20</v>
      </c>
      <c r="Q25" s="2">
        <v>26</v>
      </c>
    </row>
    <row r="26" spans="1:17" ht="12" customHeight="1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P26" s="2">
        <v>21</v>
      </c>
      <c r="Q26" s="2">
        <v>28</v>
      </c>
    </row>
    <row r="27" spans="1:17" ht="12" customHeight="1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P27" s="2">
        <v>22</v>
      </c>
      <c r="Q27" s="2">
        <v>28</v>
      </c>
    </row>
    <row r="28" spans="1:17" ht="12" customHeight="1" x14ac:dyDescent="0.25">
      <c r="A28" s="2" t="s">
        <v>1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P28" s="2">
        <v>24</v>
      </c>
      <c r="Q28" s="2">
        <v>28</v>
      </c>
    </row>
    <row r="29" spans="1:17" ht="1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P29" s="2">
        <v>25</v>
      </c>
      <c r="Q29" s="2">
        <v>28</v>
      </c>
    </row>
    <row r="30" spans="1:17" ht="9.75" customHeight="1" x14ac:dyDescent="0.25">
      <c r="A30" s="29" t="s">
        <v>16</v>
      </c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P30" s="2">
        <v>26</v>
      </c>
      <c r="Q30" s="2">
        <v>30</v>
      </c>
    </row>
    <row r="31" spans="1:17" ht="9.75" customHeight="1" x14ac:dyDescent="0.25">
      <c r="A31" s="7" t="s">
        <v>6</v>
      </c>
      <c r="B31" s="8"/>
      <c r="C31" s="7" t="s">
        <v>12</v>
      </c>
      <c r="D31" s="9"/>
      <c r="E31" s="8"/>
      <c r="F31" s="7" t="s">
        <v>13</v>
      </c>
      <c r="G31" s="9"/>
      <c r="H31" s="9"/>
      <c r="I31" s="8"/>
      <c r="J31" s="7" t="s">
        <v>31</v>
      </c>
      <c r="K31" s="9"/>
      <c r="L31" s="8"/>
      <c r="M31" s="7" t="s">
        <v>14</v>
      </c>
      <c r="N31" s="8"/>
      <c r="P31" s="2">
        <v>27</v>
      </c>
      <c r="Q31" s="2">
        <v>30</v>
      </c>
    </row>
    <row r="32" spans="1:17" ht="36" customHeight="1" x14ac:dyDescent="0.2">
      <c r="A32" s="54"/>
      <c r="B32" s="56"/>
      <c r="C32" s="54"/>
      <c r="D32" s="55"/>
      <c r="E32" s="56"/>
      <c r="F32" s="54"/>
      <c r="G32" s="55"/>
      <c r="H32" s="55"/>
      <c r="I32" s="56"/>
      <c r="J32" s="54"/>
      <c r="K32" s="55"/>
      <c r="L32" s="56"/>
      <c r="M32" s="54"/>
      <c r="N32" s="56"/>
      <c r="P32" s="2">
        <v>28</v>
      </c>
      <c r="Q32" s="2">
        <v>30</v>
      </c>
    </row>
    <row r="33" spans="1:17" ht="9.75" customHeight="1" x14ac:dyDescent="0.25">
      <c r="A33" s="7" t="s">
        <v>11</v>
      </c>
      <c r="B33" s="8"/>
      <c r="C33" s="7" t="s">
        <v>11</v>
      </c>
      <c r="D33" s="9"/>
      <c r="E33" s="8"/>
      <c r="F33" s="7" t="s">
        <v>11</v>
      </c>
      <c r="G33" s="9"/>
      <c r="H33" s="9"/>
      <c r="I33" s="8"/>
      <c r="J33" s="7" t="s">
        <v>11</v>
      </c>
      <c r="K33" s="9"/>
      <c r="L33" s="8"/>
      <c r="M33" s="7" t="s">
        <v>11</v>
      </c>
      <c r="N33" s="8"/>
      <c r="P33" s="2">
        <v>29</v>
      </c>
      <c r="Q33" s="2">
        <v>30</v>
      </c>
    </row>
    <row r="34" spans="1:17" x14ac:dyDescent="0.25">
      <c r="P34" s="2">
        <v>30</v>
      </c>
      <c r="Q34" s="2">
        <v>30</v>
      </c>
    </row>
    <row r="35" spans="1:17" x14ac:dyDescent="0.25">
      <c r="P35" s="2">
        <v>31</v>
      </c>
      <c r="Q35" s="2">
        <v>32</v>
      </c>
    </row>
    <row r="36" spans="1:17" x14ac:dyDescent="0.25">
      <c r="P36" s="2">
        <v>32</v>
      </c>
      <c r="Q36" s="2">
        <v>32</v>
      </c>
    </row>
    <row r="37" spans="1:17" x14ac:dyDescent="0.25">
      <c r="P37" s="2">
        <v>33</v>
      </c>
      <c r="Q37" s="2">
        <v>32</v>
      </c>
    </row>
    <row r="38" spans="1:17" x14ac:dyDescent="0.25">
      <c r="P38" s="2">
        <v>34</v>
      </c>
      <c r="Q38" s="2">
        <v>32</v>
      </c>
    </row>
    <row r="39" spans="1:17" x14ac:dyDescent="0.25">
      <c r="P39" s="2">
        <v>35</v>
      </c>
      <c r="Q39" s="2">
        <v>32</v>
      </c>
    </row>
  </sheetData>
  <mergeCells count="67">
    <mergeCell ref="C31:E31"/>
    <mergeCell ref="A31:B31"/>
    <mergeCell ref="M32:N32"/>
    <mergeCell ref="M31:N31"/>
    <mergeCell ref="C33:E33"/>
    <mergeCell ref="A33:B33"/>
    <mergeCell ref="A32:B32"/>
    <mergeCell ref="C32:E32"/>
    <mergeCell ref="F32:I32"/>
    <mergeCell ref="A26:N26"/>
    <mergeCell ref="A27:N27"/>
    <mergeCell ref="C28:N28"/>
    <mergeCell ref="A29:N29"/>
    <mergeCell ref="A30:N30"/>
    <mergeCell ref="C25:N25"/>
    <mergeCell ref="A19:D19"/>
    <mergeCell ref="E19:J19"/>
    <mergeCell ref="K19:N19"/>
    <mergeCell ref="A20:D20"/>
    <mergeCell ref="E20:J20"/>
    <mergeCell ref="K20:N20"/>
    <mergeCell ref="A21:N21"/>
    <mergeCell ref="A22:N22"/>
    <mergeCell ref="B23:G23"/>
    <mergeCell ref="J23:N23"/>
    <mergeCell ref="A24:N24"/>
    <mergeCell ref="A17:N17"/>
    <mergeCell ref="F14:I15"/>
    <mergeCell ref="F16:I16"/>
    <mergeCell ref="C14:E15"/>
    <mergeCell ref="M16:N16"/>
    <mergeCell ref="J16:L16"/>
    <mergeCell ref="C16:E16"/>
    <mergeCell ref="A18:N18"/>
    <mergeCell ref="A16:B16"/>
    <mergeCell ref="P4:Q4"/>
    <mergeCell ref="D12:H12"/>
    <mergeCell ref="G8:J8"/>
    <mergeCell ref="M8:N8"/>
    <mergeCell ref="B8:E8"/>
    <mergeCell ref="A12:C12"/>
    <mergeCell ref="A7:N7"/>
    <mergeCell ref="A9:N9"/>
    <mergeCell ref="M6:N6"/>
    <mergeCell ref="M12:N12"/>
    <mergeCell ref="A1:A4"/>
    <mergeCell ref="B1:L1"/>
    <mergeCell ref="N1:N3"/>
    <mergeCell ref="B2:M2"/>
    <mergeCell ref="B3:M4"/>
    <mergeCell ref="M14:N15"/>
    <mergeCell ref="J14:L15"/>
    <mergeCell ref="A5:N5"/>
    <mergeCell ref="M10:N11"/>
    <mergeCell ref="A13:N13"/>
    <mergeCell ref="B6:H6"/>
    <mergeCell ref="I10:L11"/>
    <mergeCell ref="I12:L12"/>
    <mergeCell ref="D10:H11"/>
    <mergeCell ref="A10:C11"/>
    <mergeCell ref="A14:B15"/>
    <mergeCell ref="M33:N33"/>
    <mergeCell ref="J31:L31"/>
    <mergeCell ref="J33:L33"/>
    <mergeCell ref="F33:I33"/>
    <mergeCell ref="F31:I31"/>
    <mergeCell ref="J32:L32"/>
  </mergeCells>
  <printOptions horizontalCentered="1"/>
  <pageMargins left="0.31496062992125984" right="0.31496062992125984" top="0.35433070866141736" bottom="0.35433070866141736" header="0.31496062992125984" footer="0.31496062992125984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Enrique Garrido Torres</dc:creator>
  <cp:lastModifiedBy>Ana Karen Rodriguez Campa</cp:lastModifiedBy>
  <cp:lastPrinted>2023-02-16T21:34:33Z</cp:lastPrinted>
  <dcterms:created xsi:type="dcterms:W3CDTF">2013-09-11T16:16:04Z</dcterms:created>
  <dcterms:modified xsi:type="dcterms:W3CDTF">2023-03-22T19:35:19Z</dcterms:modified>
</cp:coreProperties>
</file>